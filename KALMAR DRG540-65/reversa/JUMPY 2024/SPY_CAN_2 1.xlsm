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esktop\JUMPY 2024\"/>
    </mc:Choice>
  </mc:AlternateContent>
  <xr:revisionPtr revIDLastSave="0" documentId="13_ncr:1_{2212933B-3F7B-4D16-8CA5-49FE26C3802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Start" sheetId="1" r:id="rId1"/>
    <sheet name="Hodometro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8" l="1"/>
  <c r="C24" i="8"/>
  <c r="D23" i="8"/>
  <c r="C23" i="8"/>
  <c r="B17" i="8"/>
  <c r="C12" i="8"/>
  <c r="D12" i="8" s="1"/>
  <c r="F12" i="8"/>
  <c r="G12" i="8" s="1"/>
  <c r="C11" i="8"/>
  <c r="D11" i="8" s="1"/>
  <c r="F11" i="8"/>
  <c r="G11" i="8" s="1"/>
  <c r="C10" i="8"/>
  <c r="D10" i="8" s="1"/>
  <c r="F10" i="8"/>
  <c r="G10" i="8" s="1"/>
  <c r="F2" i="8"/>
  <c r="G2" i="8" s="1"/>
  <c r="F4" i="8"/>
  <c r="G4" i="8" s="1"/>
  <c r="F5" i="8"/>
  <c r="G5" i="8" s="1"/>
  <c r="F6" i="8"/>
  <c r="G6" i="8" s="1"/>
  <c r="F7" i="8"/>
  <c r="G7" i="8" s="1"/>
  <c r="F8" i="8"/>
  <c r="G8" i="8" s="1"/>
  <c r="F9" i="8"/>
  <c r="G9" i="8" s="1"/>
  <c r="F3" i="8"/>
  <c r="G3" i="8" s="1"/>
  <c r="C9" i="8"/>
  <c r="D9" i="8" s="1"/>
  <c r="C5" i="8"/>
  <c r="D5" i="8" s="1"/>
  <c r="C6" i="8"/>
  <c r="D6" i="8" s="1"/>
  <c r="C7" i="8"/>
  <c r="D7" i="8" s="1"/>
  <c r="C8" i="8"/>
  <c r="D8" i="8" s="1"/>
  <c r="C4" i="8"/>
  <c r="D4" i="8" s="1"/>
  <c r="C3" i="8"/>
  <c r="D3" i="8" s="1"/>
  <c r="D2" i="8"/>
</calcChain>
</file>

<file path=xl/sharedStrings.xml><?xml version="1.0" encoding="utf-8"?>
<sst xmlns="http://schemas.openxmlformats.org/spreadsheetml/2006/main" count="31" uniqueCount="21">
  <si>
    <t>Hodometro</t>
  </si>
  <si>
    <t>Hod*8</t>
  </si>
  <si>
    <t>Hod*32</t>
  </si>
  <si>
    <t>Hod*64</t>
  </si>
  <si>
    <t>Hod*128</t>
  </si>
  <si>
    <t>Hod*10 (100m)</t>
  </si>
  <si>
    <t>Hod*100 (10m)</t>
  </si>
  <si>
    <t>Hod*200 (5m)</t>
  </si>
  <si>
    <t>Valor Minimo</t>
  </si>
  <si>
    <t>Vmin_Hex</t>
  </si>
  <si>
    <t>Hod*5 (200m)</t>
  </si>
  <si>
    <t>Hod*20 (50m)</t>
  </si>
  <si>
    <t>Hod*40 (25m)</t>
  </si>
  <si>
    <t>n</t>
  </si>
  <si>
    <t>pid</t>
  </si>
  <si>
    <t>dec</t>
  </si>
  <si>
    <t>byte</t>
  </si>
  <si>
    <t>b2</t>
  </si>
  <si>
    <t>mask</t>
  </si>
  <si>
    <t>desligado</t>
  </si>
  <si>
    <t>ligado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</si>
</sst>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142875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IXXAT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142875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5" name="Button 3" descr="Importar Arquivo&#10;Microchip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Microchip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workbookViewId="0">
      <selection activeCell="E26" sqref="E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_CallMacros">
                <anchor moveWithCells="1" sizeWithCells="1">
                  <from>
                    <xdr:col>1</xdr:col>
                    <xdr:colOff>28575</xdr:colOff>
                    <xdr:row>2</xdr:row>
                    <xdr:rowOff>142875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IN_CallMacrosMicrochip" altText="Importar Arquivo_x000a_Microchip">
                <anchor moveWithCells="1" sizeWithCells="1">
                  <from>
                    <xdr:col>1</xdr:col>
                    <xdr:colOff>28575</xdr:colOff>
                    <xdr:row>6</xdr:row>
                    <xdr:rowOff>142875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24"/>
  <sheetViews>
    <sheetView tabSelected="1" workbookViewId="0">
      <selection activeCell="F19" sqref="F19"/>
    </sheetView>
  </sheetViews>
  <sheetFormatPr defaultRowHeight="15" x14ac:dyDescent="0.25"/>
  <cols>
    <col min="1" max="2" width="17.85546875" customWidth="1"/>
    <col min="6" max="6" width="13.140625" bestFit="1" customWidth="1"/>
    <col min="7" max="7" width="10.140625" bestFit="1" customWidth="1"/>
  </cols>
  <sheetData>
    <row r="1" spans="1:8" x14ac:dyDescent="0.25">
      <c r="F1" t="s">
        <v>8</v>
      </c>
      <c r="G1" t="s">
        <v>9</v>
      </c>
    </row>
    <row r="2" spans="1:8" x14ac:dyDescent="0.25">
      <c r="A2" t="s">
        <v>0</v>
      </c>
      <c r="B2">
        <v>1</v>
      </c>
      <c r="C2" s="1">
        <v>12</v>
      </c>
      <c r="D2" t="str">
        <f>DEC2HEX(C2,8)</f>
        <v>0000000C</v>
      </c>
      <c r="F2">
        <f t="shared" ref="F2:F12" si="0">($C$2-1)*B2</f>
        <v>11</v>
      </c>
      <c r="G2" t="str">
        <f>DEC2HEX(F2,8)</f>
        <v>0000000B</v>
      </c>
      <c r="H2" t="s">
        <v>13</v>
      </c>
    </row>
    <row r="3" spans="1:8" x14ac:dyDescent="0.25">
      <c r="A3" t="s">
        <v>5</v>
      </c>
      <c r="B3">
        <v>10</v>
      </c>
      <c r="C3">
        <f t="shared" ref="C3:C12" si="1">$C$2*B3</f>
        <v>120</v>
      </c>
      <c r="D3" t="str">
        <f>DEC2HEX(C3,8)</f>
        <v>00000078</v>
      </c>
      <c r="F3">
        <f t="shared" si="0"/>
        <v>110</v>
      </c>
      <c r="G3" t="str">
        <f>DEC2HEX(F3,8)</f>
        <v>0000006E</v>
      </c>
      <c r="H3" t="s">
        <v>13</v>
      </c>
    </row>
    <row r="4" spans="1:8" x14ac:dyDescent="0.25">
      <c r="A4" t="s">
        <v>6</v>
      </c>
      <c r="B4">
        <v>100</v>
      </c>
      <c r="C4">
        <f t="shared" si="1"/>
        <v>1200</v>
      </c>
      <c r="D4" t="str">
        <f>DEC2HEX(C4,8)</f>
        <v>000004B0</v>
      </c>
      <c r="F4">
        <f t="shared" si="0"/>
        <v>1100</v>
      </c>
      <c r="G4" t="str">
        <f t="shared" ref="G4:G12" si="2">DEC2HEX(F4,8)</f>
        <v>0000044C</v>
      </c>
      <c r="H4" t="s">
        <v>13</v>
      </c>
    </row>
    <row r="5" spans="1:8" x14ac:dyDescent="0.25">
      <c r="A5" t="s">
        <v>1</v>
      </c>
      <c r="B5">
        <v>8</v>
      </c>
      <c r="C5">
        <f t="shared" si="1"/>
        <v>96</v>
      </c>
      <c r="D5" t="str">
        <f t="shared" ref="D5:D12" si="3">DEC2HEX(C5,8)</f>
        <v>00000060</v>
      </c>
      <c r="F5">
        <f t="shared" si="0"/>
        <v>88</v>
      </c>
      <c r="G5" t="str">
        <f t="shared" si="2"/>
        <v>00000058</v>
      </c>
      <c r="H5" t="s">
        <v>13</v>
      </c>
    </row>
    <row r="6" spans="1:8" x14ac:dyDescent="0.25">
      <c r="A6" t="s">
        <v>2</v>
      </c>
      <c r="B6">
        <v>32</v>
      </c>
      <c r="C6">
        <f t="shared" si="1"/>
        <v>384</v>
      </c>
      <c r="D6" t="str">
        <f t="shared" si="3"/>
        <v>00000180</v>
      </c>
      <c r="F6">
        <f t="shared" si="0"/>
        <v>352</v>
      </c>
      <c r="G6" t="str">
        <f t="shared" si="2"/>
        <v>00000160</v>
      </c>
      <c r="H6" t="s">
        <v>13</v>
      </c>
    </row>
    <row r="7" spans="1:8" x14ac:dyDescent="0.25">
      <c r="A7" t="s">
        <v>3</v>
      </c>
      <c r="B7">
        <v>64</v>
      </c>
      <c r="C7">
        <f t="shared" si="1"/>
        <v>768</v>
      </c>
      <c r="D7" t="str">
        <f t="shared" si="3"/>
        <v>00000300</v>
      </c>
      <c r="F7">
        <f t="shared" si="0"/>
        <v>704</v>
      </c>
      <c r="G7" t="str">
        <f t="shared" si="2"/>
        <v>000002C0</v>
      </c>
      <c r="H7" t="s">
        <v>13</v>
      </c>
    </row>
    <row r="8" spans="1:8" x14ac:dyDescent="0.25">
      <c r="A8" t="s">
        <v>4</v>
      </c>
      <c r="B8">
        <v>128</v>
      </c>
      <c r="C8">
        <f t="shared" si="1"/>
        <v>1536</v>
      </c>
      <c r="D8" t="str">
        <f t="shared" si="3"/>
        <v>00000600</v>
      </c>
      <c r="F8">
        <f t="shared" si="0"/>
        <v>1408</v>
      </c>
      <c r="G8" t="str">
        <f t="shared" si="2"/>
        <v>00000580</v>
      </c>
      <c r="H8" t="s">
        <v>13</v>
      </c>
    </row>
    <row r="9" spans="1:8" x14ac:dyDescent="0.25">
      <c r="A9" t="s">
        <v>7</v>
      </c>
      <c r="B9">
        <v>200</v>
      </c>
      <c r="C9">
        <f t="shared" si="1"/>
        <v>2400</v>
      </c>
      <c r="D9" t="str">
        <f t="shared" si="3"/>
        <v>00000960</v>
      </c>
      <c r="F9">
        <f t="shared" si="0"/>
        <v>2200</v>
      </c>
      <c r="G9" t="str">
        <f t="shared" si="2"/>
        <v>00000898</v>
      </c>
      <c r="H9" t="s">
        <v>13</v>
      </c>
    </row>
    <row r="10" spans="1:8" x14ac:dyDescent="0.25">
      <c r="A10" t="s">
        <v>10</v>
      </c>
      <c r="B10">
        <v>5</v>
      </c>
      <c r="C10">
        <f t="shared" si="1"/>
        <v>60</v>
      </c>
      <c r="D10" t="str">
        <f t="shared" si="3"/>
        <v>0000003C</v>
      </c>
      <c r="F10">
        <f t="shared" si="0"/>
        <v>55</v>
      </c>
      <c r="G10" t="str">
        <f t="shared" si="2"/>
        <v>00000037</v>
      </c>
      <c r="H10" t="s">
        <v>13</v>
      </c>
    </row>
    <row r="11" spans="1:8" x14ac:dyDescent="0.25">
      <c r="A11" t="s">
        <v>11</v>
      </c>
      <c r="B11">
        <v>20</v>
      </c>
      <c r="C11">
        <f t="shared" si="1"/>
        <v>240</v>
      </c>
      <c r="D11" t="str">
        <f t="shared" si="3"/>
        <v>000000F0</v>
      </c>
      <c r="F11">
        <f t="shared" si="0"/>
        <v>220</v>
      </c>
      <c r="G11" t="str">
        <f t="shared" si="2"/>
        <v>000000DC</v>
      </c>
      <c r="H11" t="s">
        <v>13</v>
      </c>
    </row>
    <row r="12" spans="1:8" x14ac:dyDescent="0.25">
      <c r="A12" t="s">
        <v>12</v>
      </c>
      <c r="B12">
        <v>40</v>
      </c>
      <c r="C12">
        <f t="shared" si="1"/>
        <v>480</v>
      </c>
      <c r="D12" t="str">
        <f t="shared" si="3"/>
        <v>000001E0</v>
      </c>
      <c r="F12">
        <f t="shared" si="0"/>
        <v>440</v>
      </c>
      <c r="G12" t="str">
        <f t="shared" si="2"/>
        <v>000001B8</v>
      </c>
      <c r="H12" t="s">
        <v>13</v>
      </c>
    </row>
    <row r="16" spans="1:8" x14ac:dyDescent="0.25">
      <c r="A16" t="s">
        <v>14</v>
      </c>
      <c r="B16" s="2">
        <v>348</v>
      </c>
      <c r="C16" s="2"/>
      <c r="D16" s="2"/>
    </row>
    <row r="17" spans="1:4" x14ac:dyDescent="0.25">
      <c r="A17" t="s">
        <v>15</v>
      </c>
      <c r="B17" s="2">
        <f>HEX2DEC(348)</f>
        <v>840</v>
      </c>
      <c r="C17" s="2"/>
      <c r="D17" s="2"/>
    </row>
    <row r="18" spans="1:4" x14ac:dyDescent="0.25">
      <c r="A18" t="s">
        <v>16</v>
      </c>
      <c r="B18" s="2" t="s">
        <v>17</v>
      </c>
      <c r="C18" s="2"/>
      <c r="D18" s="2"/>
    </row>
    <row r="19" spans="1:4" x14ac:dyDescent="0.25">
      <c r="A19" t="s">
        <v>18</v>
      </c>
      <c r="B19" s="2">
        <v>2</v>
      </c>
      <c r="C19" s="2"/>
      <c r="D19" s="2"/>
    </row>
    <row r="20" spans="1:4" x14ac:dyDescent="0.25">
      <c r="B20" s="2"/>
      <c r="C20" s="2"/>
      <c r="D20" s="2"/>
    </row>
    <row r="21" spans="1:4" x14ac:dyDescent="0.25">
      <c r="B21" s="2"/>
      <c r="C21" s="2"/>
      <c r="D21" s="2"/>
    </row>
    <row r="22" spans="1:4" x14ac:dyDescent="0.25">
      <c r="B22" s="2"/>
      <c r="C22" s="2"/>
      <c r="D22" s="2"/>
    </row>
    <row r="23" spans="1:4" x14ac:dyDescent="0.25">
      <c r="A23">
        <v>37</v>
      </c>
      <c r="B23" s="2" t="s">
        <v>19</v>
      </c>
      <c r="C23" s="2" t="str">
        <f>DEC2BIN(A23,8)</f>
        <v>00100101</v>
      </c>
      <c r="D23" s="2">
        <f>_xlfn.BITAND(A23,$M$7)</f>
        <v>0</v>
      </c>
    </row>
    <row r="24" spans="1:4" x14ac:dyDescent="0.25">
      <c r="A24">
        <v>38</v>
      </c>
      <c r="B24" s="2" t="s">
        <v>20</v>
      </c>
      <c r="C24" s="2" t="str">
        <f>DEC2BIN(A24,8)</f>
        <v>00100110</v>
      </c>
      <c r="D24" s="2">
        <f>_xlfn.BITAND(A24,$M$7)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Start</vt:lpstr>
      <vt:lpstr>Hodometro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Bryan Fagundes</cp:lastModifiedBy>
  <dcterms:created xsi:type="dcterms:W3CDTF">2016-07-29T01:10:03Z</dcterms:created>
  <dcterms:modified xsi:type="dcterms:W3CDTF">2024-04-01T19:49:27Z</dcterms:modified>
</cp:coreProperties>
</file>